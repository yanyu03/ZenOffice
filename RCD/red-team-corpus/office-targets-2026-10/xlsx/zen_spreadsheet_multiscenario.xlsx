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YSQL\MTK8400\zen-office-v2\RCD\red-team-corpus\office-targets-2026-10\xlsx\"/>
    </mc:Choice>
  </mc:AlternateContent>
  <xr:revisionPtr revIDLastSave="0" documentId="8_{5FEB3171-8AC9-4CF2-ABAF-EA1A84F93330}" xr6:coauthVersionLast="47" xr6:coauthVersionMax="47" xr10:uidLastSave="{00000000-0000-0000-0000-000000000000}"/>
  <bookViews>
    <workbookView xWindow="-110" yWindow="-110" windowWidth="25820" windowHeight="15500" activeTab="1" xr2:uid="{F928546B-6391-41E6-AB03-0B57938DB574}"/>
  </bookViews>
  <sheets>
    <sheet name="Dashboard" sheetId="1" r:id="rId1"/>
    <sheet name="Transactions" sheetId="2" r:id="rId2"/>
    <sheet name="Lookups" sheetId="3" r:id="rId3"/>
  </sheets>
  <definedNames>
    <definedName name="_xlnm._FilterDatabase" localSheetId="1" hidden="1">Transactions!$A$3:$H$11</definedName>
    <definedName name="SalesTaxRate">Lookups!$B$2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E7" i="1"/>
  <c r="E6" i="1"/>
  <c r="E5" i="1"/>
  <c r="E4" i="1"/>
  <c r="H4" i="2" l="1"/>
  <c r="G4" i="2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B5" i="1"/>
  <c r="B4" i="1"/>
  <c r="B6" i="1" l="1"/>
</calcChain>
</file>

<file path=xl/sharedStrings.xml><?xml version="1.0" encoding="utf-8"?>
<sst xmlns="http://schemas.openxmlformats.org/spreadsheetml/2006/main" count="45" uniqueCount="25">
  <si>
    <t>Quarterly Sales Dashboard</t>
  </si>
  <si>
    <t>Measure</t>
  </si>
  <si>
    <t>Value</t>
  </si>
  <si>
    <t>Gross Revenue</t>
  </si>
  <si>
    <t>Tax</t>
  </si>
  <si>
    <t>Net Total</t>
  </si>
  <si>
    <t>Region</t>
  </si>
  <si>
    <t>Revenue</t>
  </si>
  <si>
    <t>North</t>
  </si>
  <si>
    <t>South</t>
  </si>
  <si>
    <t>East</t>
  </si>
  <si>
    <t>West</t>
  </si>
  <si>
    <t>Parameter</t>
  </si>
  <si>
    <t>Sales tax</t>
  </si>
  <si>
    <t>Currency</t>
  </si>
  <si>
    <t>USD</t>
  </si>
  <si>
    <t>Product Catalog</t>
  </si>
  <si>
    <t>Widget A</t>
  </si>
  <si>
    <t>Widget B</t>
  </si>
  <si>
    <t>Widget C</t>
  </si>
  <si>
    <t>Date</t>
  </si>
  <si>
    <t>Product</t>
  </si>
  <si>
    <t>Units</t>
  </si>
  <si>
    <t>Unit Price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</si>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</sst>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$#,##0.00"/>
    <numFmt numFmtId="177" formatCode="0.0%"/>
    <numFmt numFmtId="178" formatCode="mmm\ d\,\ yyyy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Dashboard!$D$4:$D$7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Dashboard!$E$4:$E$7</c:f>
              <c:numCache>
                <c:formatCode>\$#,##0.00</c:formatCode>
                <c:ptCount val="4"/>
                <c:pt idx="0">
                  <c:v>989.4</c:v>
                </c:pt>
                <c:pt idx="1">
                  <c:v>840</c:v>
                </c:pt>
                <c:pt idx="2">
                  <c:v>1231.6500000000001</c:v>
                </c:pt>
                <c:pt idx="3">
                  <c:v>732.05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A-441C-BC1B-3DD08608B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58080"/>
        <c:axId val="99957120"/>
      </c:barChart>
      <c:catAx>
        <c:axId val="9995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957120"/>
        <c:crosses val="autoZero"/>
        <c:auto val="1"/>
        <c:lblAlgn val="ctr"/>
        <c:lblOffset val="100"/>
        <c:noMultiLvlLbl val="0"/>
      </c:catAx>
      <c:valAx>
        <c:axId val="99957120"/>
        <c:scaling>
          <c:orientation val="minMax"/>
        </c:scaling>
        <c:delete val="0"/>
        <c:axPos val="l"/>
        <c:majorGridlines/>
        <c:numFmt formatCode="\$#,##0.00" sourceLinked="1"/>
        <c:majorTickMark val="out"/>
        <c:minorTickMark val="none"/>
        <c:tickLblPos val="nextTo"/>
        <c:crossAx val="9995808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57150</xdr:rowOff>
    </xdr:from>
    <xdr:to>
      <xdr:col>14</xdr:col>
      <xdr:colOff>279400</xdr:colOff>
      <xdr:row>21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D67BFC-13EF-9BE9-B049-3F7EE72D7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19B0-F16B-4337-B706-E76D91ABAD03}">
  <dimension ref="A1:F7"/>
  <sheetViews>
    <sheetView workbookViewId="0"/>
  </sheetViews>
  <sheetFormatPr defaultRowHeight="14" x14ac:dyDescent="0.3"/>
  <cols>
    <col min="1" max="1" width="13" bestFit="1" customWidth="1"/>
    <col min="2" max="2" width="5.83203125" bestFit="1" customWidth="1"/>
    <col min="4" max="4" width="6.75" bestFit="1" customWidth="1"/>
    <col min="5" max="5" width="7.83203125" bestFit="1" customWidth="1"/>
  </cols>
  <sheetData>
    <row r="1" spans="1:6" ht="22.5" x14ac:dyDescent="0.3">
      <c r="A1" s="2" t="s">
        <v>0</v>
      </c>
      <c r="B1" s="1"/>
      <c r="C1" s="1"/>
      <c r="D1" s="1"/>
      <c r="E1" s="1"/>
      <c r="F1" s="1"/>
    </row>
    <row r="3" spans="1:6" x14ac:dyDescent="0.3">
      <c r="A3" s="5" t="s">
        <v>1</v>
      </c>
      <c r="B3" s="5" t="s">
        <v>2</v>
      </c>
      <c r="D3" t="s">
        <v>6</v>
      </c>
      <c r="E3" t="s">
        <v>7</v>
      </c>
    </row>
    <row r="4" spans="1:6" x14ac:dyDescent="0.3">
      <c r="A4" t="s">
        <v>3</v>
      </c>
      <c r="B4" s="3">
        <f>SUM(Transactions!F4:F11)</f>
        <v>3793.1000000000004</v>
      </c>
      <c r="D4" t="s">
        <v>8</v>
      </c>
      <c r="E4" s="3">
        <f>SUMIF(Transactions!$B$4:$B$11,D4,Transactions!$F$4:$F$11)</f>
        <v>989.4</v>
      </c>
    </row>
    <row r="5" spans="1:6" x14ac:dyDescent="0.3">
      <c r="A5" t="s">
        <v>4</v>
      </c>
      <c r="B5" s="3">
        <f>SUM(Transactions!G4:G11)</f>
        <v>493.10299999999995</v>
      </c>
      <c r="D5" t="s">
        <v>9</v>
      </c>
      <c r="E5" s="3">
        <f>SUMIF(Transactions!$B$4:$B$11,D5,Transactions!$F$4:$F$11)</f>
        <v>840</v>
      </c>
    </row>
    <row r="6" spans="1:6" x14ac:dyDescent="0.3">
      <c r="A6" t="s">
        <v>5</v>
      </c>
      <c r="B6" s="3">
        <f>SUM(Transactions!H4:H11)</f>
        <v>4286.2030000000004</v>
      </c>
      <c r="D6" t="s">
        <v>10</v>
      </c>
      <c r="E6" s="3">
        <f>SUMIF(Transactions!$B$4:$B$11,D6,Transactions!$F$4:$F$11)</f>
        <v>1231.6500000000001</v>
      </c>
    </row>
    <row r="7" spans="1:6" x14ac:dyDescent="0.3">
      <c r="D7" t="s">
        <v>11</v>
      </c>
      <c r="E7" s="3">
        <f>SUMIF(Transactions!$B$4:$B$11,D7,Transactions!$F$4:$F$11)</f>
        <v>732.05</v>
      </c>
    </row>
  </sheetData>
  <mergeCells count="1">
    <mergeCell ref="A1:F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71AF-DBED-4082-8869-0B4779543373}">
  <dimension ref="A3:H1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" x14ac:dyDescent="0.3"/>
  <cols>
    <col min="1" max="1" width="11.5" bestFit="1" customWidth="1"/>
    <col min="2" max="2" width="9.1640625" bestFit="1" customWidth="1"/>
    <col min="3" max="3" width="9.75" bestFit="1" customWidth="1"/>
    <col min="4" max="4" width="7.5" bestFit="1" customWidth="1"/>
    <col min="5" max="5" width="11.33203125" bestFit="1" customWidth="1"/>
    <col min="6" max="6" width="10.5" bestFit="1" customWidth="1"/>
    <col min="7" max="7" width="7.58203125" bestFit="1" customWidth="1"/>
    <col min="8" max="8" width="9" bestFit="1" customWidth="1"/>
  </cols>
  <sheetData>
    <row r="3" spans="1:8" x14ac:dyDescent="0.3">
      <c r="A3" s="5" t="s">
        <v>20</v>
      </c>
      <c r="B3" s="5" t="s">
        <v>6</v>
      </c>
      <c r="C3" s="5" t="s">
        <v>21</v>
      </c>
      <c r="D3" s="5" t="s">
        <v>22</v>
      </c>
      <c r="E3" s="5" t="s">
        <v>23</v>
      </c>
      <c r="F3" s="5" t="s">
        <v>7</v>
      </c>
      <c r="G3" s="5" t="s">
        <v>4</v>
      </c>
      <c r="H3" s="5" t="s">
        <v>24</v>
      </c>
    </row>
    <row r="4" spans="1:8" x14ac:dyDescent="0.3">
      <c r="A4" s="7">
        <v>46027</v>
      </c>
      <c r="B4" t="s">
        <v>8</v>
      </c>
      <c r="C4" t="s">
        <v>17</v>
      </c>
      <c r="D4">
        <v>12</v>
      </c>
      <c r="E4" s="3">
        <v>19.95</v>
      </c>
      <c r="F4" s="3">
        <f>D4*E4</f>
        <v>239.39999999999998</v>
      </c>
      <c r="G4" s="3">
        <f>F4*SalesTaxRate</f>
        <v>31.121999999999996</v>
      </c>
      <c r="H4" s="3">
        <f>F4+G4</f>
        <v>270.52199999999999</v>
      </c>
    </row>
    <row r="5" spans="1:8" x14ac:dyDescent="0.3">
      <c r="A5" s="7">
        <v>46034</v>
      </c>
      <c r="B5" t="s">
        <v>9</v>
      </c>
      <c r="C5" t="s">
        <v>18</v>
      </c>
      <c r="D5">
        <v>8</v>
      </c>
      <c r="E5" s="3">
        <v>42.5</v>
      </c>
      <c r="F5" s="3">
        <f>D5*E5</f>
        <v>340</v>
      </c>
      <c r="G5" s="3">
        <f>F5*SalesTaxRate</f>
        <v>44.2</v>
      </c>
      <c r="H5" s="3">
        <f>F5+G5</f>
        <v>384.2</v>
      </c>
    </row>
    <row r="6" spans="1:8" x14ac:dyDescent="0.3">
      <c r="A6" s="7">
        <v>46041</v>
      </c>
      <c r="B6" t="s">
        <v>10</v>
      </c>
      <c r="C6" t="s">
        <v>17</v>
      </c>
      <c r="D6">
        <v>17</v>
      </c>
      <c r="E6" s="3">
        <v>19.95</v>
      </c>
      <c r="F6" s="3">
        <f>D6*E6</f>
        <v>339.15</v>
      </c>
      <c r="G6" s="3">
        <f>F6*SalesTaxRate</f>
        <v>44.089500000000001</v>
      </c>
      <c r="H6" s="3">
        <f>F6+G6</f>
        <v>383.23949999999996</v>
      </c>
    </row>
    <row r="7" spans="1:8" x14ac:dyDescent="0.3">
      <c r="A7" s="7">
        <v>46055</v>
      </c>
      <c r="B7" t="s">
        <v>8</v>
      </c>
      <c r="C7" t="s">
        <v>19</v>
      </c>
      <c r="D7">
        <v>6</v>
      </c>
      <c r="E7" s="3">
        <v>125</v>
      </c>
      <c r="F7" s="3">
        <f>D7*E7</f>
        <v>750</v>
      </c>
      <c r="G7" s="3">
        <f>F7*SalesTaxRate</f>
        <v>97.5</v>
      </c>
      <c r="H7" s="3">
        <f>F7+G7</f>
        <v>847.5</v>
      </c>
    </row>
    <row r="8" spans="1:8" x14ac:dyDescent="0.3">
      <c r="A8" s="7">
        <v>46062</v>
      </c>
      <c r="B8" t="s">
        <v>11</v>
      </c>
      <c r="C8" t="s">
        <v>18</v>
      </c>
      <c r="D8">
        <v>13</v>
      </c>
      <c r="E8" s="3">
        <v>42.5</v>
      </c>
      <c r="F8" s="3">
        <f>D8*E8</f>
        <v>552.5</v>
      </c>
      <c r="G8" s="3">
        <f>F8*SalesTaxRate</f>
        <v>71.825000000000003</v>
      </c>
      <c r="H8" s="3">
        <f>F8+G8</f>
        <v>624.32500000000005</v>
      </c>
    </row>
    <row r="9" spans="1:8" x14ac:dyDescent="0.3">
      <c r="A9" s="7">
        <v>46069</v>
      </c>
      <c r="B9" t="s">
        <v>9</v>
      </c>
      <c r="C9" t="s">
        <v>19</v>
      </c>
      <c r="D9">
        <v>4</v>
      </c>
      <c r="E9" s="3">
        <v>125</v>
      </c>
      <c r="F9" s="3">
        <f>D9*E9</f>
        <v>500</v>
      </c>
      <c r="G9" s="3">
        <f>F9*SalesTaxRate</f>
        <v>65</v>
      </c>
      <c r="H9" s="3">
        <f>F9+G9</f>
        <v>565</v>
      </c>
    </row>
    <row r="10" spans="1:8" x14ac:dyDescent="0.3">
      <c r="A10" s="7">
        <v>46083</v>
      </c>
      <c r="B10" t="s">
        <v>10</v>
      </c>
      <c r="C10" t="s">
        <v>18</v>
      </c>
      <c r="D10">
        <v>21</v>
      </c>
      <c r="E10" s="3">
        <v>42.5</v>
      </c>
      <c r="F10" s="3">
        <f>D10*E10</f>
        <v>892.5</v>
      </c>
      <c r="G10" s="3">
        <f>F10*SalesTaxRate</f>
        <v>116.02500000000001</v>
      </c>
      <c r="H10" s="3">
        <f>F10+G10</f>
        <v>1008.525</v>
      </c>
    </row>
    <row r="11" spans="1:8" x14ac:dyDescent="0.3">
      <c r="A11" s="7">
        <v>46090</v>
      </c>
      <c r="B11" t="s">
        <v>11</v>
      </c>
      <c r="C11" t="s">
        <v>17</v>
      </c>
      <c r="D11">
        <v>9</v>
      </c>
      <c r="E11" s="3">
        <v>19.95</v>
      </c>
      <c r="F11" s="3">
        <f>D11*E11</f>
        <v>179.54999999999998</v>
      </c>
      <c r="G11" s="3">
        <f>F11*SalesTaxRate</f>
        <v>23.3415</v>
      </c>
      <c r="H11" s="3">
        <f>F11+G11</f>
        <v>202.89149999999998</v>
      </c>
    </row>
  </sheetData>
  <autoFilter ref="A3:H11" xr:uid="{A3DB71AF-DBED-4082-8869-0B4779543373}"/>
  <phoneticPr fontId="3" type="noConversion"/>
  <conditionalFormatting sqref="F4:F11">
    <cfRule type="cellIs" dxfId="0" priority="1" stopIfTrue="1" operator="greaterThan">
      <formula>1000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07B9-F438-46EF-AF19-928270D02235}">
  <dimension ref="A1:D4"/>
  <sheetViews>
    <sheetView workbookViewId="0"/>
  </sheetViews>
  <sheetFormatPr defaultRowHeight="14" x14ac:dyDescent="0.3"/>
  <cols>
    <col min="1" max="1" width="9.6640625" bestFit="1" customWidth="1"/>
    <col min="2" max="2" width="5.83203125" bestFit="1" customWidth="1"/>
    <col min="4" max="4" width="14.33203125" bestFit="1" customWidth="1"/>
  </cols>
  <sheetData>
    <row r="1" spans="1:4" x14ac:dyDescent="0.3">
      <c r="A1" s="4" t="s">
        <v>12</v>
      </c>
      <c r="B1" s="4" t="s">
        <v>2</v>
      </c>
      <c r="D1" t="s">
        <v>16</v>
      </c>
    </row>
    <row r="2" spans="1:4" x14ac:dyDescent="0.3">
      <c r="A2" t="s">
        <v>13</v>
      </c>
      <c r="B2" s="6">
        <v>0.13</v>
      </c>
      <c r="D2" t="s">
        <v>17</v>
      </c>
    </row>
    <row r="3" spans="1:4" x14ac:dyDescent="0.3">
      <c r="A3" t="s">
        <v>14</v>
      </c>
      <c r="B3" t="s">
        <v>15</v>
      </c>
      <c r="D3" t="s">
        <v>18</v>
      </c>
    </row>
    <row r="4" spans="1:4" x14ac:dyDescent="0.3">
      <c r="D4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Dashboard</vt:lpstr>
      <vt:lpstr>Transactions</vt:lpstr>
      <vt:lpstr>Lookups</vt:lpstr>
      <vt:lpstr>SalesTaxRate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2026-10-14T13:14:31Z</dcterms:created>
  <dcterms:modified xsi:type="dcterms:W3CDTF">2026-10-14T13:14:40Z</dcterms:modified>
</cp:coreProperties>
</file>